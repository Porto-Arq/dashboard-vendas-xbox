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MEUS CURSOS LOCAIS\SANTANDER - BOOTCAMP\VÍDEOS\15 - DASHBOARD EXCEL\"/>
    </mc:Choice>
  </mc:AlternateContent>
  <xr:revisionPtr revIDLastSave="0" documentId="8_{356E0DA9-15B1-4ACB-A5E6-08469173A8D9}" xr6:coauthVersionLast="47" xr6:coauthVersionMax="47" xr10:uidLastSave="{00000000-0000-0000-0000-000000000000}"/>
  <bookViews>
    <workbookView xWindow="-120" yWindow="-120" windowWidth="20640" windowHeight="1116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8"/>
  <pivotCaches>
    <pivotCache cacheId="7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4" i="3"/>
</calcChain>
</file>

<file path=xl/sharedStrings.xml><?xml version="1.0" encoding="utf-8"?>
<sst xmlns="http://schemas.openxmlformats.org/spreadsheetml/2006/main" count="2017" uniqueCount="319">
  <si>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</si>
  <si>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</si>
  <si>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</si>
  <si>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</si>
  <si>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</si>
  <si>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</si>
  <si>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</si>
  <si>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</si>
  <si>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</si>
  <si>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</si>
  <si>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</si>
  <si>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</si>
  <si>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</si>
  <si>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</si>
  <si>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</si>
  <si>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</si>
  <si>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</si>
  <si>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</si>
  <si>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</si>
  <si>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</si>
  <si>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</si>
  <si>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</si>
  <si>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</si>
  <si>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</si>
  <si>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</si>
  <si>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</si>
  <si>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</si>
  <si>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</si>
  <si>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</si>
  <si>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</si>
  <si>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</si>
  <si>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</si>
  <si>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</si>
  <si>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</si>
  <si>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</si>
  <si>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</si>
  <si>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</si>
  <si>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</si>
  <si>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</si>
  <si>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</si>
  <si>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</si>
  <si>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</si>
  <si>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</si>
  <si>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</si>
  <si>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</si>
  <si>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</si>
  <si>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</si>
  <si>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</si>
  <si>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</si>
  <si>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</si>
  <si>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</si>
  <si>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</si>
  <si>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</si>
  <si>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</si>
  <si>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</si>
  <si>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</si>
  <si>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</si>
  <si>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</si>
  <si>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</si>
  <si>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</si>
  <si>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</si>
  <si>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</si>
  <si>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</si>
  <si>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</si>
  <si>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</si>
  <si>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</si>
  <si>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</si>
  <si>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</si>
  <si>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</si>
  <si>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</si>
  <si>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</si>
  <si>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</si>
  <si>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</si>
  <si>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</si>
  <si>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</si>
  <si>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</si>
  <si>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</si>
  <si>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</si>
  <si>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</si>
  <si>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</si>
  <si>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</si>
  <si>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</si>
  <si>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</si>
  <si>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</si>
  <si>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</si>
  <si>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</si>
  <si>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</si>
  <si>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</si>
  <si>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</si>
  <si>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</si>
  <si>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</si>
  <si>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</si>
  <si>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</si>
  <si>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</si>
  <si>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</si>
  <si>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</si>
  <si>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</si>
  <si>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</si>
  <si>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</si>
  <si>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</si>
  <si>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</si>
  <si>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</si>
  <si>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</si>
  <si>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</si>
  <si>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</si>
  <si>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</si>
  <si>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</si>
  <si>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</si>
  <si>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</si>
  <si>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</si>
  <si>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</si>
  <si>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</si>
  <si>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</si>
  <si>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</si>
  <si>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</si>
  <si>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</si>
  <si>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</si>
  <si>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</si>
  <si>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</si>
  <si>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</si>
  <si>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</si>
  <si>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</si>
  <si>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</si>
  <si>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</si>
  <si>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</si>
  <si>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</si>
  <si>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</si>
  <si>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</si>
  <si>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</si>
  <si>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</si>
  <si>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</si>
  <si>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</si>
  <si>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</si>
  <si>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</si>
  <si>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</si>
  <si>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</si>
  <si>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</si>
  <si>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</si>
  <si>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</si>
  <si>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</si>
  <si>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</si>
  <si>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</si>
  <si>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</si>
  <si>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</si>
  <si>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</si>
  <si>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</si>
  <si>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</si>
  <si>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</si>
  <si>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</si>
  <si>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</si>
  <si>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</si>
  <si>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</si>
  <si>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</si>
  <si>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</si>
  <si>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</si>
  <si>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</si>
  <si>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</si>
  <si>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</si>
  <si>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</si>
  <si>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</si>
  <si>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</si>
  <si>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</si>
  <si>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</si>
  <si>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</si>
  <si>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</si>
  <si>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</si>
  <si>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</si>
  <si>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</si>
  <si>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</si>
  <si>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</si>
  <si>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</si>
  <si>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</si>
  <si>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</si>
  <si>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</si>
  <si>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</si>
  <si>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</si>
  <si>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</si>
  <si>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</si>
  <si>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</si>
  <si>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</si>
  <si>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</si>
  <si>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</si>
  <si>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</si>
  <si>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</si>
  <si>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</si>
  <si>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</si>
  <si>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</si>
  <si>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</si>
  <si>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</si>
  <si>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</si>
  <si>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</si>
  <si>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</si>
  <si>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</si>
  <si>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</si>
  <si>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</si>
  <si>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</si>
  <si>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</si>
  <si>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</si>
  <si>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</si>
  <si>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</si>
  <si>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</si>
  <si>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</si>
  <si>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</si>
  <si>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</si>
  <si>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</si>
  <si>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</si>
  <si>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</si>
  <si>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</si>
  <si>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</si>
  <si>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</si>
  <si>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</si>
  <si>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</si>
  <si>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</si>
  <si>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</si>
  <si>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</si>
  <si>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</si>
  <si>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</si>
  <si>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</si>
  <si>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</si>
  <si>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</si>
  <si>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</si>
  <si>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</si>
  <si>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</si>
  <si>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</si>
  <si>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</si>
  <si>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</si>
  <si>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</si>
  <si>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</si>
  <si>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</si>
  <si>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</si>
  <si>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</si>
  <si>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</si>
  <si>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</si>
  <si>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</si>
  <si>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</si>
  <si>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</si>
  <si>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</si>
  <si>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</si>
  <si>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</si>
  <si>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</si>
  <si>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</si>
  <si>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</si>
  <si>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</si>
  <si>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</si>
  <si>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</si>
  <si>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</si>
  <si>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</si>
  <si>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</si>
  <si>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</si>
  <si>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</si>
  <si>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</si>
  <si>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</si>
  <si>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</si>
  <si>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</si>
  <si>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</si>
  <si>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</si>
  <si>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</si>
  <si>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</si>
  <si>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</si>
  <si>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</si>
  <si>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</si>
  <si>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</si>
  <si>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</si>
  <si>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</si>
  <si>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</si>
  <si>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</si>
  <si>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</si>
  <si>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</si>
  <si>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</si>
  <si>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</si>
  <si>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</si>
  <si>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</si>
  <si>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</si>
  <si>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</si>
  <si>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</si>
  <si>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</si>
  <si>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</si>
  <si>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</si>
  <si>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</si>
  <si>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</si>
  <si>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</si>
  <si>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</si>
  <si>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</si>
  <si>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</si>
  <si>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</si>
  <si>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</si>
  <si>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</si>
  <si>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</si>
  <si>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</si>
  <si>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</si>
  <si>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</si>
  <si>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</si>
  <si>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</si>
  <si>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</si>
  <si>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</si>
  <si>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</si>
  <si>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</si>
  <si>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</si>
  <si>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</si>
  <si>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</si>
  <si>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</si>
  <si>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</si>
  <si>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</si>
  <si>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</si>
  <si>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</si>
  <si>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</si>
  <si>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</si>
  <si>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</si>
  <si>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</si>
  <si>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</si>
  <si>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</si>
  <si>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</si>
  <si>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</si>
  <si>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Soma de Total Value</t>
  </si>
  <si>
    <t>Rótulos de Linha</t>
  </si>
  <si>
    <t>Total Geral</t>
  </si>
  <si>
    <t>XBOX GAME PASS SUBSCRIPTIONS SALES</t>
  </si>
  <si>
    <t>Soma de EA Play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</si>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</sst>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4" tint="-0.249977111117893"/>
      <name val="Aptos Narrow"/>
      <family val="2"/>
      <scheme val="minor"/>
    </font>
    <font>
      <sz val="14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3" tint="0.2499465926084170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6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8" borderId="0" xfId="0" applyFill="1"/>
    <xf numFmtId="0" fontId="0" fillId="9" borderId="0" xfId="0" applyFill="1"/>
    <xf numFmtId="0" fontId="0" fillId="0" borderId="0" xfId="0" applyNumberFormat="1"/>
    <xf numFmtId="44" fontId="0" fillId="0" borderId="0" xfId="2" applyFont="1"/>
    <xf numFmtId="0" fontId="4" fillId="0" borderId="0" xfId="1" applyFont="1" applyBorder="1"/>
    <xf numFmtId="0" fontId="1" fillId="0" borderId="0" xfId="1" applyBorder="1"/>
    <xf numFmtId="0" fontId="4" fillId="0" borderId="2" xfId="1" applyFont="1" applyBorder="1"/>
    <xf numFmtId="0" fontId="1" fillId="0" borderId="2" xfId="1" applyBorder="1"/>
    <xf numFmtId="0" fontId="0" fillId="8" borderId="0" xfId="0" applyFill="1" applyBorder="1"/>
    <xf numFmtId="0" fontId="0" fillId="10" borderId="0" xfId="0" applyFill="1"/>
    <xf numFmtId="0" fontId="5" fillId="10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i val="0"/>
        <color theme="0"/>
      </font>
      <border>
        <bottom style="thin">
          <color theme="6"/>
        </bottom>
        <vertical/>
        <horizontal/>
      </border>
    </dxf>
    <dxf>
      <font>
        <color theme="1"/>
      </font>
      <fill>
        <patternFill>
          <bgColor rgb="FF0070C0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2" defaultTableStyle="TableStyleMedium2" defaultPivotStyle="PivotStyleLight16">
    <tableStyle name="Estilo de Segmentação de Dados 1" pivot="0" table="0" count="0" xr9:uid="{5EBE1C4F-D29C-4663-8464-77A6E3ADC4BC}"/>
    <tableStyle name="SlicerStyleLight3 2" pivot="0" table="0" count="10" xr9:uid="{D11040D9-D4C1-414B-8441-4AB779E0C3C9}">
      <tableStyleElement type="wholeTable" dxfId="1"/>
      <tableStyleElement type="headerRow" dxfId="0"/>
    </tableStyle>
  </tableStyles>
  <colors>
    <mruColors>
      <color rgb="FF0070C0"/>
      <color rgb="FF0033CC"/>
      <color rgb="FF3399FF"/>
      <color rgb="FF000000"/>
      <color rgb="FF22C55E"/>
      <color rgb="FFE8E6E9"/>
      <color rgb="FF5BF6A8"/>
      <color rgb="FFE0E0E0"/>
      <color rgb="FFEDEDED"/>
      <color rgb="FFF7F8FC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FINALIZADO PORTO.xlsx]C̳álculos!tbl_anual_total</c:name>
    <c:fmtId val="3"/>
  </c:pivotSource>
  <c:chart>
    <c:autoTitleDeleted val="1"/>
    <c:pivotFmts>
      <c:pivotFmt>
        <c:idx val="0"/>
        <c:spPr>
          <a:solidFill>
            <a:srgbClr val="3399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399FF"/>
          </a:solidFill>
          <a:ln>
            <a:noFill/>
          </a:ln>
          <a:effectLst/>
        </c:spPr>
      </c:pivotFmt>
      <c:pivotFmt>
        <c:idx val="2"/>
        <c:spPr>
          <a:solidFill>
            <a:srgbClr val="3399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3399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rgbClr val="0033CC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3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rgbClr val="0033CC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C̳álculos!$B$11:$B$13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C̳álculos!$C$11:$C$13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22-46FB-B08F-0351CFB10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8114160"/>
        <c:axId val="1362885056"/>
      </c:barChart>
      <c:catAx>
        <c:axId val="1308114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2885056"/>
        <c:crosses val="autoZero"/>
        <c:auto val="1"/>
        <c:lblAlgn val="ctr"/>
        <c:lblOffset val="100"/>
        <c:noMultiLvlLbl val="0"/>
      </c:catAx>
      <c:valAx>
        <c:axId val="13628850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30811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15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15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916779</xdr:colOff>
      <xdr:row>0</xdr:row>
      <xdr:rowOff>190499</xdr:rowOff>
    </xdr:from>
    <xdr:to>
      <xdr:col>0</xdr:col>
      <xdr:colOff>1869280</xdr:colOff>
      <xdr:row>4</xdr:row>
      <xdr:rowOff>54364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BC7D322-2A1B-4929-9F0D-0DADD4F33F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79" t="19136" r="72290" b="18952"/>
        <a:stretch>
          <a:fillRect/>
        </a:stretch>
      </xdr:blipFill>
      <xdr:spPr>
        <a:xfrm>
          <a:off x="916779" y="190499"/>
          <a:ext cx="952501" cy="983053"/>
        </a:xfrm>
        <a:prstGeom prst="rect">
          <a:avLst/>
        </a:prstGeom>
      </xdr:spPr>
    </xdr:pic>
    <xdr:clientData/>
  </xdr:twoCellAnchor>
  <xdr:twoCellAnchor editAs="absolute">
    <xdr:from>
      <xdr:col>0</xdr:col>
      <xdr:colOff>17318</xdr:colOff>
      <xdr:row>6</xdr:row>
      <xdr:rowOff>273627</xdr:rowOff>
    </xdr:from>
    <xdr:to>
      <xdr:col>1</xdr:col>
      <xdr:colOff>0</xdr:colOff>
      <xdr:row>15</xdr:row>
      <xdr:rowOff>35501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0125F65D-A30B-4BDA-89F6-EB76335B48B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318" y="2059565"/>
              <a:ext cx="1959120" cy="20359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9525</xdr:colOff>
      <xdr:row>4</xdr:row>
      <xdr:rowOff>38100</xdr:rowOff>
    </xdr:from>
    <xdr:to>
      <xdr:col>8</xdr:col>
      <xdr:colOff>457200</xdr:colOff>
      <xdr:row>7</xdr:row>
      <xdr:rowOff>219075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59D34561-5970-843C-BDA8-4136B2C58B13}"/>
            </a:ext>
          </a:extLst>
        </xdr:cNvPr>
        <xdr:cNvGrpSpPr/>
      </xdr:nvGrpSpPr>
      <xdr:grpSpPr>
        <a:xfrm>
          <a:off x="2224088" y="1157288"/>
          <a:ext cx="4090987" cy="1252537"/>
          <a:chOff x="2181225" y="1190625"/>
          <a:chExt cx="4105275" cy="1247775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70120EEB-1E0E-F781-08D2-1A27A2717FE8}"/>
              </a:ext>
            </a:extLst>
          </xdr:cNvPr>
          <xdr:cNvSpPr/>
        </xdr:nvSpPr>
        <xdr:spPr>
          <a:xfrm>
            <a:off x="2181225" y="1190625"/>
            <a:ext cx="4095750" cy="1000125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4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E7753FB5-1A08-4940-8DDC-5DA3B7C3D900}"/>
              </a:ext>
            </a:extLst>
          </xdr:cNvPr>
          <xdr:cNvSpPr/>
        </xdr:nvSpPr>
        <xdr:spPr>
          <a:xfrm>
            <a:off x="3276600" y="1466850"/>
            <a:ext cx="2857500" cy="723900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9DC7439C-E96E-4B37-80EA-4B8F688D80F1}" type="TxLink">
              <a:rPr lang="en-US" sz="3200" b="0" i="0" u="none" strike="noStrike">
                <a:solidFill>
                  <a:schemeClr val="tx2">
                    <a:lumMod val="75000"/>
                    <a:lumOff val="25000"/>
                  </a:schemeClr>
                </a:solidFill>
                <a:latin typeface="Aptos Narrow"/>
              </a:rPr>
              <a:pPr algn="ctr"/>
              <a:t> R$ 990,00 </a:t>
            </a:fld>
            <a:endParaRPr lang="en-US" sz="3200">
              <a:solidFill>
                <a:schemeClr val="tx2">
                  <a:lumMod val="75000"/>
                  <a:lumOff val="25000"/>
                </a:schemeClr>
              </a:solidFill>
            </a:endParaRPr>
          </a:p>
        </xdr:txBody>
      </xdr:sp>
      <xdr:pic>
        <xdr:nvPicPr>
          <xdr:cNvPr id="11" name="Imagem 10">
            <a:extLst>
              <a:ext uri="{FF2B5EF4-FFF2-40B4-BE49-F238E27FC236}">
                <a16:creationId xmlns:a16="http://schemas.microsoft.com/office/drawing/2014/main" id="{BE3D39D7-EEE0-4A05-B459-0809F25C237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71725" y="1219200"/>
            <a:ext cx="1219200" cy="1219200"/>
          </a:xfrm>
          <a:prstGeom prst="rect">
            <a:avLst/>
          </a:prstGeom>
        </xdr:spPr>
      </xdr:pic>
      <xdr:sp macro="" textlink="">
        <xdr:nvSpPr>
          <xdr:cNvPr id="12" name="Retângulo: Cantos Superiores Arredondados 11">
            <a:extLst>
              <a:ext uri="{FF2B5EF4-FFF2-40B4-BE49-F238E27FC236}">
                <a16:creationId xmlns:a16="http://schemas.microsoft.com/office/drawing/2014/main" id="{1C173445-2C97-724F-6DE8-615C17868D0C}"/>
              </a:ext>
            </a:extLst>
          </xdr:cNvPr>
          <xdr:cNvSpPr/>
        </xdr:nvSpPr>
        <xdr:spPr>
          <a:xfrm>
            <a:off x="2181225" y="1200150"/>
            <a:ext cx="4105275" cy="276225"/>
          </a:xfrm>
          <a:prstGeom prst="round2SameRect">
            <a:avLst>
              <a:gd name="adj1" fmla="val 40805"/>
              <a:gd name="adj2" fmla="val 0"/>
            </a:avLst>
          </a:prstGeom>
          <a:solidFill>
            <a:srgbClr val="0070C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/>
              <a:t>TOTAL  PLAY</a:t>
            </a:r>
          </a:p>
        </xdr:txBody>
      </xdr:sp>
    </xdr:grpSp>
    <xdr:clientData/>
  </xdr:twoCellAnchor>
  <xdr:twoCellAnchor>
    <xdr:from>
      <xdr:col>10</xdr:col>
      <xdr:colOff>0</xdr:colOff>
      <xdr:row>4</xdr:row>
      <xdr:rowOff>19050</xdr:rowOff>
    </xdr:from>
    <xdr:to>
      <xdr:col>17</xdr:col>
      <xdr:colOff>9525</xdr:colOff>
      <xdr:row>6</xdr:row>
      <xdr:rowOff>352425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9633035C-5898-1C78-579E-0247900C3A9F}"/>
            </a:ext>
          </a:extLst>
        </xdr:cNvPr>
        <xdr:cNvGrpSpPr/>
      </xdr:nvGrpSpPr>
      <xdr:grpSpPr>
        <a:xfrm>
          <a:off x="7072313" y="1138238"/>
          <a:ext cx="4093368" cy="1000125"/>
          <a:chOff x="7029450" y="1200150"/>
          <a:chExt cx="4105275" cy="1000125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FD3E0605-1181-4F34-84E8-D48F64368009}"/>
              </a:ext>
            </a:extLst>
          </xdr:cNvPr>
          <xdr:cNvGrpSpPr/>
        </xdr:nvGrpSpPr>
        <xdr:grpSpPr>
          <a:xfrm>
            <a:off x="7029450" y="1200150"/>
            <a:ext cx="4105275" cy="1000125"/>
            <a:chOff x="2181225" y="1190625"/>
            <a:chExt cx="4105275" cy="1000125"/>
          </a:xfrm>
        </xdr:grpSpPr>
        <xdr:sp macro="" textlink="">
          <xdr:nvSpPr>
            <xdr:cNvPr id="15" name="Retângulo: Cantos Arredondados 14">
              <a:extLst>
                <a:ext uri="{FF2B5EF4-FFF2-40B4-BE49-F238E27FC236}">
                  <a16:creationId xmlns:a16="http://schemas.microsoft.com/office/drawing/2014/main" id="{99ECC533-2943-0870-3625-AFB3E6CB4392}"/>
                </a:ext>
              </a:extLst>
            </xdr:cNvPr>
            <xdr:cNvSpPr/>
          </xdr:nvSpPr>
          <xdr:spPr>
            <a:xfrm>
              <a:off x="2181225" y="1190625"/>
              <a:ext cx="4095750" cy="1000125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solidFill>
                  <a:srgbClr val="3399FF"/>
                </a:solidFill>
              </a:endParaRPr>
            </a:p>
          </xdr:txBody>
        </xdr:sp>
        <xdr:sp macro="" textlink="C̳álculos!E36">
          <xdr:nvSpPr>
            <xdr:cNvPr id="16" name="Retângulo: Cantos Arredondados 15">
              <a:extLst>
                <a:ext uri="{FF2B5EF4-FFF2-40B4-BE49-F238E27FC236}">
                  <a16:creationId xmlns:a16="http://schemas.microsoft.com/office/drawing/2014/main" id="{F216571B-F559-C165-98FA-16D96B56FFF2}"/>
                </a:ext>
              </a:extLst>
            </xdr:cNvPr>
            <xdr:cNvSpPr/>
          </xdr:nvSpPr>
          <xdr:spPr>
            <a:xfrm>
              <a:off x="3276600" y="1466850"/>
              <a:ext cx="2857500" cy="723900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D793B73-E4C5-4775-95F6-D5804ED474E2}" type="TxLink">
                <a:rPr lang="en-US" sz="3200" b="0" i="0" u="none" strike="noStrike">
                  <a:solidFill>
                    <a:srgbClr val="0070C0"/>
                  </a:solidFill>
                  <a:latin typeface="Aptos Narrow"/>
                </a:rPr>
                <a:t> R$ 1.140,00 </a:t>
              </a:fld>
              <a:endParaRPr lang="en-US" sz="3200">
                <a:solidFill>
                  <a:srgbClr val="0070C0"/>
                </a:solidFill>
              </a:endParaRPr>
            </a:p>
          </xdr:txBody>
        </xdr:sp>
        <xdr:sp macro="" textlink="">
          <xdr:nvSpPr>
            <xdr:cNvPr id="18" name="Retângulo: Cantos Superiores Arredondados 17">
              <a:extLst>
                <a:ext uri="{FF2B5EF4-FFF2-40B4-BE49-F238E27FC236}">
                  <a16:creationId xmlns:a16="http://schemas.microsoft.com/office/drawing/2014/main" id="{A9724682-6349-E298-3C46-FAF7CB41FD70}"/>
                </a:ext>
              </a:extLst>
            </xdr:cNvPr>
            <xdr:cNvSpPr/>
          </xdr:nvSpPr>
          <xdr:spPr>
            <a:xfrm>
              <a:off x="2181225" y="1200150"/>
              <a:ext cx="4105275" cy="276225"/>
            </a:xfrm>
            <a:prstGeom prst="round2SameRect">
              <a:avLst>
                <a:gd name="adj1" fmla="val 40805"/>
                <a:gd name="adj2" fmla="val 0"/>
              </a:avLst>
            </a:prstGeom>
            <a:solidFill>
              <a:srgbClr val="0070C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/>
                <a:t>TOTAL MINECRAFT</a:t>
              </a:r>
            </a:p>
          </xdr:txBody>
        </xdr:sp>
      </xdr:grpSp>
      <xdr:grpSp>
        <xdr:nvGrpSpPr>
          <xdr:cNvPr id="19" name="Agrupar 18">
            <a:extLst>
              <a:ext uri="{FF2B5EF4-FFF2-40B4-BE49-F238E27FC236}">
                <a16:creationId xmlns:a16="http://schemas.microsoft.com/office/drawing/2014/main" id="{0F97B939-2A20-4F30-AC99-DF8BDF4C423E}"/>
              </a:ext>
            </a:extLst>
          </xdr:cNvPr>
          <xdr:cNvGrpSpPr/>
        </xdr:nvGrpSpPr>
        <xdr:grpSpPr>
          <a:xfrm>
            <a:off x="7191375" y="1504950"/>
            <a:ext cx="1295400" cy="561975"/>
            <a:chOff x="3495675" y="5400674"/>
            <a:chExt cx="1549476" cy="752476"/>
          </a:xfrm>
        </xdr:grpSpPr>
        <xdr:pic>
          <xdr:nvPicPr>
            <xdr:cNvPr id="20" name="Imagem 19">
              <a:extLst>
                <a:ext uri="{FF2B5EF4-FFF2-40B4-BE49-F238E27FC236}">
                  <a16:creationId xmlns:a16="http://schemas.microsoft.com/office/drawing/2014/main" id="{8A36BA02-C452-2B6B-849B-CF7CA3B1B1D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1" name="Gráfico 20">
              <a:extLst>
                <a:ext uri="{FF2B5EF4-FFF2-40B4-BE49-F238E27FC236}">
                  <a16:creationId xmlns:a16="http://schemas.microsoft.com/office/drawing/2014/main" id="{C986DDE6-D7EF-2692-7E62-67CCF0C1A01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171449</xdr:colOff>
      <xdr:row>7</xdr:row>
      <xdr:rowOff>153762</xdr:rowOff>
    </xdr:from>
    <xdr:to>
      <xdr:col>17</xdr:col>
      <xdr:colOff>101048</xdr:colOff>
      <xdr:row>21</xdr:row>
      <xdr:rowOff>140864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A10526EE-0B53-FF2B-8106-9A053F524D73}"/>
            </a:ext>
          </a:extLst>
        </xdr:cNvPr>
        <xdr:cNvGrpSpPr/>
      </xdr:nvGrpSpPr>
      <xdr:grpSpPr>
        <a:xfrm>
          <a:off x="2147887" y="2344512"/>
          <a:ext cx="9109317" cy="2999383"/>
          <a:chOff x="2142710" y="2340371"/>
          <a:chExt cx="9189555" cy="3001971"/>
        </a:xfrm>
      </xdr:grpSpPr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93AF9B0C-91B9-48FE-7C76-CE3D59348E73}"/>
              </a:ext>
            </a:extLst>
          </xdr:cNvPr>
          <xdr:cNvGrpSpPr/>
        </xdr:nvGrpSpPr>
        <xdr:grpSpPr>
          <a:xfrm>
            <a:off x="2167558" y="2390067"/>
            <a:ext cx="9164707" cy="2952275"/>
            <a:chOff x="2408464" y="1605644"/>
            <a:chExt cx="5810251" cy="4136572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86AE40EF-C372-3C0B-2E48-19E783F69BB5}"/>
                </a:ext>
              </a:extLst>
            </xdr:cNvPr>
            <xdr:cNvSpPr/>
          </xdr:nvSpPr>
          <xdr:spPr>
            <a:xfrm>
              <a:off x="2408464" y="1605644"/>
              <a:ext cx="5810251" cy="4136572"/>
            </a:xfrm>
            <a:prstGeom prst="roundRect">
              <a:avLst>
                <a:gd name="adj" fmla="val 555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60FCE57D-595C-4467-BFC2-74E7ED38C927}"/>
                </a:ext>
              </a:extLst>
            </xdr:cNvPr>
            <xdr:cNvGraphicFramePr>
              <a:graphicFrameLocks/>
            </xdr:cNvGraphicFramePr>
          </xdr:nvGraphicFramePr>
          <xdr:xfrm>
            <a:off x="2530930" y="1726184"/>
            <a:ext cx="5592534" cy="383029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3" name="Retângulo: Cantos Superiores Arredondados 22">
            <a:extLst>
              <a:ext uri="{FF2B5EF4-FFF2-40B4-BE49-F238E27FC236}">
                <a16:creationId xmlns:a16="http://schemas.microsoft.com/office/drawing/2014/main" id="{58729D80-47DA-4C79-8511-708332C2A479}"/>
              </a:ext>
            </a:extLst>
          </xdr:cNvPr>
          <xdr:cNvSpPr/>
        </xdr:nvSpPr>
        <xdr:spPr>
          <a:xfrm>
            <a:off x="2142710" y="2340371"/>
            <a:ext cx="9179616" cy="277881"/>
          </a:xfrm>
          <a:prstGeom prst="round2SameRect">
            <a:avLst>
              <a:gd name="adj1" fmla="val 40805"/>
              <a:gd name="adj2" fmla="val 0"/>
            </a:avLst>
          </a:prstGeom>
          <a:solidFill>
            <a:srgbClr val="0070C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/>
              <a:t>TOTAL  XBOX GAME</a:t>
            </a:r>
          </a:p>
        </xdr:txBody>
      </xdr:sp>
    </xdr:grpSp>
    <xdr:clientData/>
  </xdr:twoCellAnchor>
  <xdr:twoCellAnchor>
    <xdr:from>
      <xdr:col>0</xdr:col>
      <xdr:colOff>142875</xdr:colOff>
      <xdr:row>1</xdr:row>
      <xdr:rowOff>107156</xdr:rowOff>
    </xdr:from>
    <xdr:to>
      <xdr:col>0</xdr:col>
      <xdr:colOff>976312</xdr:colOff>
      <xdr:row>3</xdr:row>
      <xdr:rowOff>178593</xdr:rowOff>
    </xdr:to>
    <xdr:sp macro="" textlink="">
      <xdr:nvSpPr>
        <xdr:cNvPr id="25" name="Elipse 24">
          <a:extLst>
            <a:ext uri="{FF2B5EF4-FFF2-40B4-BE49-F238E27FC236}">
              <a16:creationId xmlns:a16="http://schemas.microsoft.com/office/drawing/2014/main" id="{65BEFA06-2CBA-4AFE-B8C6-C3BFAFB01CD0}"/>
            </a:ext>
          </a:extLst>
        </xdr:cNvPr>
        <xdr:cNvSpPr/>
      </xdr:nvSpPr>
      <xdr:spPr>
        <a:xfrm>
          <a:off x="142875" y="297656"/>
          <a:ext cx="833437" cy="785812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35719</xdr:colOff>
      <xdr:row>4</xdr:row>
      <xdr:rowOff>107156</xdr:rowOff>
    </xdr:from>
    <xdr:to>
      <xdr:col>0</xdr:col>
      <xdr:colOff>1940719</xdr:colOff>
      <xdr:row>4</xdr:row>
      <xdr:rowOff>357187</xdr:rowOff>
    </xdr:to>
    <xdr:sp macro="" textlink="">
      <xdr:nvSpPr>
        <xdr:cNvPr id="26" name="Retângulo: Cantos Arredondados 25">
          <a:extLst>
            <a:ext uri="{FF2B5EF4-FFF2-40B4-BE49-F238E27FC236}">
              <a16:creationId xmlns:a16="http://schemas.microsoft.com/office/drawing/2014/main" id="{677A509C-9F18-FABC-A2E5-C8EE42CD991A}"/>
            </a:ext>
          </a:extLst>
        </xdr:cNvPr>
        <xdr:cNvSpPr/>
      </xdr:nvSpPr>
      <xdr:spPr>
        <a:xfrm>
          <a:off x="35719" y="1226344"/>
          <a:ext cx="1905000" cy="250031"/>
        </a:xfrm>
        <a:prstGeom prst="round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/>
            <a:t>BEM VINDA SANDRA</a:t>
          </a:r>
        </a:p>
      </xdr:txBody>
    </xdr:sp>
    <xdr:clientData/>
  </xdr:twoCellAnchor>
  <xdr:twoCellAnchor>
    <xdr:from>
      <xdr:col>2</xdr:col>
      <xdr:colOff>0</xdr:colOff>
      <xdr:row>3</xdr:row>
      <xdr:rowOff>0</xdr:rowOff>
    </xdr:from>
    <xdr:to>
      <xdr:col>13</xdr:col>
      <xdr:colOff>142876</xdr:colOff>
      <xdr:row>4</xdr:row>
      <xdr:rowOff>23812</xdr:rowOff>
    </xdr:to>
    <xdr:sp macro="" textlink="">
      <xdr:nvSpPr>
        <xdr:cNvPr id="35" name="Retângulo: Cantos Arredondados 34">
          <a:extLst>
            <a:ext uri="{FF2B5EF4-FFF2-40B4-BE49-F238E27FC236}">
              <a16:creationId xmlns:a16="http://schemas.microsoft.com/office/drawing/2014/main" id="{75980B6E-A23E-4862-BC3A-CEB4F2D754C5}"/>
            </a:ext>
          </a:extLst>
        </xdr:cNvPr>
        <xdr:cNvSpPr/>
      </xdr:nvSpPr>
      <xdr:spPr>
        <a:xfrm>
          <a:off x="2214563" y="904875"/>
          <a:ext cx="6655594" cy="238125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ln>
                <a:solidFill>
                  <a:schemeClr val="tx1"/>
                </a:solidFill>
              </a:ln>
              <a:solidFill>
                <a:schemeClr val="accent1"/>
              </a:solidFill>
            </a:rPr>
            <a:t>PERÍODO DE CÁLULO: 01/01/2024 - 31/12/2024  | UPDATE DATE 25/12/2025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son porto" refreshedDate="46285.57855914352" createdVersion="8" refreshedVersion="8" minRefreshableVersion="3" recordCount="295" xr:uid="{BE0AD8BD-7594-4492-8E98-D03D75B15D03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56854493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C8C73B-4961-49E9-954F-5C79D915FD33}" name="Tabela dinâmica4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E2BA3D-0799-49DB-A298-E06579DDF113}" name="tbl_passe_total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20:C2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B4BAB9-6A0D-4ACB-9AA4-EA01D199C16F}" name="tbl_anual_total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10:C1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79E2A554-0558-4D48-A1F5-31DE98B9FBF4}" sourceName="Subscription Type">
  <pivotTables>
    <pivotTable tabId="3" name="tbl_anual_total"/>
    <pivotTable tabId="3" name="tbl_passe_total"/>
    <pivotTable tabId="3" name="Tabela dinâmica4"/>
  </pivotTables>
  <data>
    <tabular pivotCacheId="1568544930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C858CCDC-551A-4F2E-A2B2-B40B4F0CE25F}" cache="SegmentaçãodeDados_Subscription_Type" caption="Subscription Type" style="SlicerStyleLight3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4">
      <filters>
        <filter val="No"/>
      </filters>
    </filterColumn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7" zoomScaleNormal="100" workbookViewId="0">
      <selection activeCell="I24" sqref="I24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1</v>
      </c>
      <c r="C5" t="s">
        <v>2</v>
      </c>
      <c r="E5" s="7" t="s">
        <v>3</v>
      </c>
      <c r="F5" t="s">
        <v>4</v>
      </c>
    </row>
    <row r="6" spans="2:16" x14ac:dyDescent="0.25">
      <c r="B6" s="4" t="s">
        <v>5</v>
      </c>
      <c r="C6" t="s">
        <v>2</v>
      </c>
    </row>
    <row r="7" spans="2:16" x14ac:dyDescent="0.25">
      <c r="B7" s="5" t="s">
        <v>6</v>
      </c>
      <c r="C7" t="s">
        <v>7</v>
      </c>
    </row>
    <row r="8" spans="2:16" x14ac:dyDescent="0.25">
      <c r="B8" s="6" t="s">
        <v>8</v>
      </c>
      <c r="C8" t="s">
        <v>7</v>
      </c>
    </row>
    <row r="12" spans="2:16" ht="20.25" thickBot="1" x14ac:dyDescent="0.35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A7" sqref="A7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hidden="1" customHeight="1" x14ac:dyDescent="0.25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hidden="1" customHeight="1" x14ac:dyDescent="0.25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hidden="1" customHeight="1" x14ac:dyDescent="0.25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hidden="1" customHeight="1" x14ac:dyDescent="0.25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hidden="1" customHeight="1" x14ac:dyDescent="0.25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hidden="1" customHeight="1" x14ac:dyDescent="0.25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hidden="1" customHeight="1" x14ac:dyDescent="0.25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hidden="1" customHeight="1" x14ac:dyDescent="0.25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hidden="1" customHeight="1" x14ac:dyDescent="0.25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hidden="1" customHeight="1" x14ac:dyDescent="0.25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hidden="1" customHeight="1" x14ac:dyDescent="0.25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hidden="1" customHeight="1" x14ac:dyDescent="0.25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hidden="1" customHeight="1" x14ac:dyDescent="0.25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hidden="1" customHeight="1" x14ac:dyDescent="0.25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hidden="1" customHeight="1" x14ac:dyDescent="0.25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hidden="1" customHeight="1" x14ac:dyDescent="0.25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hidden="1" customHeight="1" x14ac:dyDescent="0.25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hidden="1" customHeight="1" x14ac:dyDescent="0.25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hidden="1" customHeight="1" x14ac:dyDescent="0.25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hidden="1" customHeight="1" x14ac:dyDescent="0.25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hidden="1" customHeight="1" x14ac:dyDescent="0.25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hidden="1" customHeight="1" x14ac:dyDescent="0.25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hidden="1" customHeight="1" x14ac:dyDescent="0.25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hidden="1" customHeight="1" x14ac:dyDescent="0.25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hidden="1" customHeight="1" x14ac:dyDescent="0.25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hidden="1" customHeight="1" x14ac:dyDescent="0.25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hidden="1" customHeight="1" x14ac:dyDescent="0.25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hidden="1" customHeight="1" x14ac:dyDescent="0.25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hidden="1" customHeight="1" x14ac:dyDescent="0.25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hidden="1" customHeight="1" x14ac:dyDescent="0.25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hidden="1" customHeight="1" x14ac:dyDescent="0.25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hidden="1" customHeight="1" x14ac:dyDescent="0.25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hidden="1" customHeight="1" x14ac:dyDescent="0.25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hidden="1" customHeight="1" x14ac:dyDescent="0.25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hidden="1" customHeight="1" x14ac:dyDescent="0.25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hidden="1" customHeight="1" x14ac:dyDescent="0.25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hidden="1" customHeight="1" x14ac:dyDescent="0.25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hidden="1" customHeight="1" x14ac:dyDescent="0.25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hidden="1" customHeight="1" x14ac:dyDescent="0.25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hidden="1" customHeight="1" x14ac:dyDescent="0.25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hidden="1" customHeight="1" x14ac:dyDescent="0.25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hidden="1" customHeight="1" x14ac:dyDescent="0.25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hidden="1" customHeight="1" x14ac:dyDescent="0.25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hidden="1" customHeight="1" x14ac:dyDescent="0.25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hidden="1" customHeight="1" x14ac:dyDescent="0.25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hidden="1" customHeight="1" x14ac:dyDescent="0.25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hidden="1" customHeight="1" x14ac:dyDescent="0.25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hidden="1" customHeight="1" x14ac:dyDescent="0.25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8:E36"/>
  <sheetViews>
    <sheetView showGridLines="0" topLeftCell="A22" workbookViewId="0">
      <selection activeCell="A7" sqref="A7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11.8554687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8" spans="2:3" x14ac:dyDescent="0.25">
      <c r="B8" s="13" t="s">
        <v>17</v>
      </c>
      <c r="C8" t="s">
        <v>35</v>
      </c>
    </row>
    <row r="10" spans="2:3" x14ac:dyDescent="0.25">
      <c r="B10" s="13" t="s">
        <v>314</v>
      </c>
      <c r="C10" t="s">
        <v>313</v>
      </c>
    </row>
    <row r="11" spans="2:3" x14ac:dyDescent="0.25">
      <c r="B11" s="14" t="s">
        <v>30</v>
      </c>
      <c r="C11" s="12">
        <v>806</v>
      </c>
    </row>
    <row r="12" spans="2:3" x14ac:dyDescent="0.25">
      <c r="B12" s="14" t="s">
        <v>26</v>
      </c>
      <c r="C12" s="12">
        <v>1502</v>
      </c>
    </row>
    <row r="13" spans="2:3" x14ac:dyDescent="0.25">
      <c r="B13" s="14" t="s">
        <v>315</v>
      </c>
      <c r="C13" s="12">
        <v>2308</v>
      </c>
    </row>
    <row r="18" spans="2:5" x14ac:dyDescent="0.25">
      <c r="B18" s="13" t="s">
        <v>17</v>
      </c>
      <c r="C18" t="s">
        <v>35</v>
      </c>
    </row>
    <row r="20" spans="2:5" x14ac:dyDescent="0.25">
      <c r="B20" s="13" t="s">
        <v>314</v>
      </c>
      <c r="C20" t="s">
        <v>317</v>
      </c>
    </row>
    <row r="21" spans="2:5" x14ac:dyDescent="0.25">
      <c r="B21" s="14" t="s">
        <v>29</v>
      </c>
      <c r="C21" s="17">
        <v>0</v>
      </c>
    </row>
    <row r="22" spans="2:5" x14ac:dyDescent="0.25">
      <c r="B22" s="14" t="s">
        <v>34</v>
      </c>
      <c r="C22" s="17">
        <v>0</v>
      </c>
    </row>
    <row r="23" spans="2:5" x14ac:dyDescent="0.25">
      <c r="B23" s="14" t="s">
        <v>25</v>
      </c>
      <c r="C23" s="17">
        <v>990</v>
      </c>
    </row>
    <row r="24" spans="2:5" x14ac:dyDescent="0.25">
      <c r="B24" s="14" t="s">
        <v>315</v>
      </c>
      <c r="C24" s="17">
        <v>990</v>
      </c>
      <c r="E24" s="18">
        <f>GETPIVOTDATA("EA Play Season Pass
Price",$B$20)</f>
        <v>990</v>
      </c>
    </row>
    <row r="30" spans="2:5" x14ac:dyDescent="0.25">
      <c r="B30" s="13" t="s">
        <v>17</v>
      </c>
      <c r="C30" t="s">
        <v>35</v>
      </c>
    </row>
    <row r="32" spans="2:5" x14ac:dyDescent="0.25">
      <c r="B32" s="13" t="s">
        <v>314</v>
      </c>
      <c r="C32" t="s">
        <v>318</v>
      </c>
    </row>
    <row r="33" spans="2:5" x14ac:dyDescent="0.25">
      <c r="B33" s="14" t="s">
        <v>29</v>
      </c>
      <c r="C33" s="12">
        <v>0</v>
      </c>
    </row>
    <row r="34" spans="2:5" x14ac:dyDescent="0.25">
      <c r="B34" s="14" t="s">
        <v>34</v>
      </c>
      <c r="C34" s="12">
        <v>480</v>
      </c>
    </row>
    <row r="35" spans="2:5" x14ac:dyDescent="0.25">
      <c r="B35" s="14" t="s">
        <v>25</v>
      </c>
      <c r="C35" s="12">
        <v>660</v>
      </c>
    </row>
    <row r="36" spans="2:5" x14ac:dyDescent="0.25">
      <c r="B36" s="14" t="s">
        <v>315</v>
      </c>
      <c r="C36" s="12">
        <v>1140</v>
      </c>
      <c r="E36" s="18">
        <f>GETPIVOTDATA("Minecraft Season Pass Price",$B$32)</f>
        <v>1140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Z216"/>
  <sheetViews>
    <sheetView showGridLines="0" tabSelected="1" zoomScale="80" zoomScaleNormal="80" workbookViewId="0">
      <selection activeCell="T9" sqref="T9"/>
    </sheetView>
  </sheetViews>
  <sheetFormatPr defaultRowHeight="15" x14ac:dyDescent="0.25"/>
  <cols>
    <col min="1" max="1" width="29.5703125" style="16" customWidth="1"/>
    <col min="2" max="2" width="3.5703125" customWidth="1"/>
    <col min="12" max="12" width="6.5703125" customWidth="1"/>
  </cols>
  <sheetData>
    <row r="2" spans="2:26" ht="20.25" thickBot="1" x14ac:dyDescent="0.35">
      <c r="C2" s="21" t="s">
        <v>316</v>
      </c>
      <c r="D2" s="21"/>
      <c r="E2" s="21"/>
      <c r="F2" s="21"/>
      <c r="G2" s="21"/>
      <c r="H2" s="21"/>
      <c r="I2" s="22"/>
      <c r="J2" s="22"/>
      <c r="K2" s="22"/>
      <c r="L2" s="22"/>
      <c r="M2" s="22"/>
      <c r="N2" s="22"/>
      <c r="O2" s="22"/>
      <c r="P2" s="22"/>
      <c r="Q2" s="22"/>
      <c r="R2" s="20"/>
      <c r="S2" s="20"/>
      <c r="T2" s="20"/>
      <c r="U2" s="20"/>
      <c r="V2" s="20"/>
      <c r="W2" s="20"/>
    </row>
    <row r="3" spans="2:26" ht="36" customHeight="1" thickTop="1" x14ac:dyDescent="0.3">
      <c r="I3" s="19"/>
    </row>
    <row r="4" spans="2:26" ht="17.25" customHeight="1" x14ac:dyDescent="0.3">
      <c r="B4" s="15"/>
      <c r="C4" s="25"/>
      <c r="D4" s="24"/>
      <c r="E4" s="15"/>
      <c r="F4" s="15"/>
      <c r="G4" s="24"/>
      <c r="H4" s="15"/>
      <c r="I4" s="23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2:26" ht="33.75" customHeight="1" x14ac:dyDescent="0.25"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2:26" ht="18.75" customHeight="1" x14ac:dyDescent="0.25"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2:26" ht="31.5" customHeight="1" x14ac:dyDescent="0.25"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2:26" ht="24" customHeight="1" x14ac:dyDescent="0.25"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2:26" ht="33" customHeight="1" x14ac:dyDescent="0.25"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2:26" x14ac:dyDescent="0.25"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2:26" x14ac:dyDescent="0.25"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2:26" x14ac:dyDescent="0.25"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2:26" x14ac:dyDescent="0.25"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2:26" x14ac:dyDescent="0.25"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2:26" x14ac:dyDescent="0.25"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2:26" x14ac:dyDescent="0.25"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2:26" x14ac:dyDescent="0.25"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2:26" x14ac:dyDescent="0.25"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2:26" x14ac:dyDescent="0.25"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2:26" x14ac:dyDescent="0.25"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2:26" x14ac:dyDescent="0.25"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2:26" x14ac:dyDescent="0.25"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2:26" x14ac:dyDescent="0.25"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2:26" x14ac:dyDescent="0.25"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2:26" x14ac:dyDescent="0.25"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2:26" x14ac:dyDescent="0.25"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2:26" x14ac:dyDescent="0.25"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2:26" x14ac:dyDescent="0.25"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2:26" x14ac:dyDescent="0.25"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26" x14ac:dyDescent="0.25"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26" x14ac:dyDescent="0.25"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2:26" x14ac:dyDescent="0.25"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2:26" x14ac:dyDescent="0.25"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2:26" x14ac:dyDescent="0.25"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2:26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2:26" x14ac:dyDescent="0.25"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2:26" x14ac:dyDescent="0.25"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x14ac:dyDescent="0.25"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2:26" x14ac:dyDescent="0.25"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2:26" x14ac:dyDescent="0.25"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2:26" x14ac:dyDescent="0.25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2:26" x14ac:dyDescent="0.25"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2:26" x14ac:dyDescent="0.25"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2:26" x14ac:dyDescent="0.25"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2:26" x14ac:dyDescent="0.25"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2:26" x14ac:dyDescent="0.25"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2:26" x14ac:dyDescent="0.25"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2:26" x14ac:dyDescent="0.25"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2:26" x14ac:dyDescent="0.25"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2:26" x14ac:dyDescent="0.25"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2:26" x14ac:dyDescent="0.25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2:26" x14ac:dyDescent="0.25"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2:26" x14ac:dyDescent="0.25"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2:26" x14ac:dyDescent="0.25"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2:26" x14ac:dyDescent="0.25"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2:26" x14ac:dyDescent="0.25"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2:26" x14ac:dyDescent="0.25"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2:26" x14ac:dyDescent="0.25"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2:26" x14ac:dyDescent="0.25"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2:26" x14ac:dyDescent="0.25"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2:26" x14ac:dyDescent="0.25"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2:26" x14ac:dyDescent="0.25"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2:26" x14ac:dyDescent="0.25"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2:26" x14ac:dyDescent="0.25"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2:26" x14ac:dyDescent="0.25"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2:26" x14ac:dyDescent="0.25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2:26" x14ac:dyDescent="0.25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2:26" x14ac:dyDescent="0.25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2:26" x14ac:dyDescent="0.25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2:26" x14ac:dyDescent="0.25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2:26" x14ac:dyDescent="0.25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2:26" x14ac:dyDescent="0.25"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2:26" x14ac:dyDescent="0.25"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2:26" x14ac:dyDescent="0.25"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2:26" x14ac:dyDescent="0.25"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2:26" x14ac:dyDescent="0.25"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2:26" x14ac:dyDescent="0.25"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2:26" x14ac:dyDescent="0.25"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2:26" x14ac:dyDescent="0.25"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2:26" x14ac:dyDescent="0.25"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2:26" x14ac:dyDescent="0.25"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2:26" x14ac:dyDescent="0.25"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2:26" x14ac:dyDescent="0.25"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2:26" x14ac:dyDescent="0.25"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2:26" x14ac:dyDescent="0.25"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2:26" x14ac:dyDescent="0.25"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2:26" x14ac:dyDescent="0.25"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2:26" x14ac:dyDescent="0.25"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2:26" x14ac:dyDescent="0.25"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2:26" x14ac:dyDescent="0.25"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2:26" x14ac:dyDescent="0.25"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2:26" x14ac:dyDescent="0.25"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2:26" x14ac:dyDescent="0.25"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2:26" x14ac:dyDescent="0.25"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2:26" x14ac:dyDescent="0.25"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2:26" x14ac:dyDescent="0.25"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2:26" x14ac:dyDescent="0.25"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2:26" x14ac:dyDescent="0.25"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2:26" x14ac:dyDescent="0.25"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2:26" x14ac:dyDescent="0.25"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2:26" x14ac:dyDescent="0.25"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2:26" x14ac:dyDescent="0.25"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2:26" x14ac:dyDescent="0.25"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2:26" x14ac:dyDescent="0.25"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2:26" x14ac:dyDescent="0.25"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2:26" x14ac:dyDescent="0.25"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2:26" x14ac:dyDescent="0.25"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2:26" x14ac:dyDescent="0.25"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2:26" x14ac:dyDescent="0.25"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2:26" x14ac:dyDescent="0.25"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2:26" x14ac:dyDescent="0.25"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2:26" x14ac:dyDescent="0.25"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2:26" x14ac:dyDescent="0.25"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2:26" x14ac:dyDescent="0.25"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2:26" x14ac:dyDescent="0.25"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2:26" x14ac:dyDescent="0.25"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2:26" x14ac:dyDescent="0.25"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2:26" x14ac:dyDescent="0.25"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2:26" x14ac:dyDescent="0.25"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2:26" x14ac:dyDescent="0.25"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2:26" x14ac:dyDescent="0.25"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2:26" x14ac:dyDescent="0.25"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2:26" x14ac:dyDescent="0.25"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2:26" x14ac:dyDescent="0.25"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2:26" x14ac:dyDescent="0.25"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2:26" x14ac:dyDescent="0.25"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2:26" x14ac:dyDescent="0.25"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2:26" x14ac:dyDescent="0.25"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2:26" x14ac:dyDescent="0.25"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2:26" x14ac:dyDescent="0.25"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2:26" x14ac:dyDescent="0.25"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2:26" x14ac:dyDescent="0.25"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2:26" x14ac:dyDescent="0.25"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2:26" x14ac:dyDescent="0.25"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2:26" x14ac:dyDescent="0.25"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2:26" x14ac:dyDescent="0.25"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2:26" x14ac:dyDescent="0.25"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2:26" x14ac:dyDescent="0.25"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2:26" x14ac:dyDescent="0.25"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2:26" x14ac:dyDescent="0.25"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2:26" x14ac:dyDescent="0.25"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2:26" x14ac:dyDescent="0.25"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2:26" x14ac:dyDescent="0.25"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2:26" x14ac:dyDescent="0.25"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2:26" x14ac:dyDescent="0.25"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2:26" x14ac:dyDescent="0.25"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2:26" x14ac:dyDescent="0.25"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2:26" x14ac:dyDescent="0.25"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2:26" x14ac:dyDescent="0.25"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2:26" x14ac:dyDescent="0.25"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2:26" x14ac:dyDescent="0.25"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2:26" x14ac:dyDescent="0.25"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2:26" x14ac:dyDescent="0.25"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2:26" x14ac:dyDescent="0.25"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2:26" x14ac:dyDescent="0.25"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2:26" x14ac:dyDescent="0.25"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2:26" x14ac:dyDescent="0.25"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2:26" x14ac:dyDescent="0.25"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2:26" x14ac:dyDescent="0.25"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2:26" x14ac:dyDescent="0.25"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2:26" x14ac:dyDescent="0.25"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2:26" x14ac:dyDescent="0.25"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2:26" x14ac:dyDescent="0.25"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2:26" x14ac:dyDescent="0.25"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2:26" x14ac:dyDescent="0.25"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2:26" x14ac:dyDescent="0.25"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2:26" x14ac:dyDescent="0.25"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2:26" x14ac:dyDescent="0.25"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2:26" x14ac:dyDescent="0.25"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2:26" x14ac:dyDescent="0.25"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2:26" x14ac:dyDescent="0.25"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2:26" x14ac:dyDescent="0.25"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2:26" x14ac:dyDescent="0.25"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2:26" x14ac:dyDescent="0.25"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2:26" x14ac:dyDescent="0.25"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2:26" x14ac:dyDescent="0.25"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2:26" x14ac:dyDescent="0.25"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2:26" x14ac:dyDescent="0.25"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2:26" x14ac:dyDescent="0.25"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2:26" x14ac:dyDescent="0.25"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2:26" x14ac:dyDescent="0.25"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2:26" x14ac:dyDescent="0.25"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2:26" x14ac:dyDescent="0.25"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2:26" x14ac:dyDescent="0.25"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2:26" x14ac:dyDescent="0.25"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2:26" x14ac:dyDescent="0.25"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2:26" x14ac:dyDescent="0.25"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2:26" x14ac:dyDescent="0.25"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2:26" x14ac:dyDescent="0.25"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2:26" x14ac:dyDescent="0.25"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2:26" x14ac:dyDescent="0.25"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2:26" x14ac:dyDescent="0.25"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2:26" x14ac:dyDescent="0.25"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2:26" x14ac:dyDescent="0.25"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2:26" x14ac:dyDescent="0.25"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2:26" x14ac:dyDescent="0.25"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2:26" x14ac:dyDescent="0.25"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2:26" x14ac:dyDescent="0.25"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2:26" x14ac:dyDescent="0.25"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2:26" x14ac:dyDescent="0.25"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2:26" x14ac:dyDescent="0.25"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2:26" x14ac:dyDescent="0.25"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2:26" x14ac:dyDescent="0.25"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2:26" x14ac:dyDescent="0.25"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2:26" x14ac:dyDescent="0.25"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2:26" x14ac:dyDescent="0.25"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2:26" x14ac:dyDescent="0.25"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2:26" x14ac:dyDescent="0.25"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2:26" x14ac:dyDescent="0.25"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2:26" x14ac:dyDescent="0.25"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2:26" x14ac:dyDescent="0.25"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2:26" x14ac:dyDescent="0.25"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2:26" x14ac:dyDescent="0.25"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2:26" x14ac:dyDescent="0.25"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2:26" x14ac:dyDescent="0.25"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2:26" x14ac:dyDescent="0.25"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wilson porto</cp:lastModifiedBy>
  <cp:revision/>
  <dcterms:created xsi:type="dcterms:W3CDTF">2024-12-19T13:13:10Z</dcterms:created>
  <dcterms:modified xsi:type="dcterms:W3CDTF">2026-09-20T23:39:59Z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